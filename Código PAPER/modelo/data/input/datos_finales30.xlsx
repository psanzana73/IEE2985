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f7811548ae3acaf/Escritorio/UC/ELECTRICA/IPRE/Código PAPER/modelo/data/input/"/>
    </mc:Choice>
  </mc:AlternateContent>
  <xr:revisionPtr revIDLastSave="139" documentId="8_{1125A440-6FA8-42FD-A401-0E7D704994B6}" xr6:coauthVersionLast="47" xr6:coauthVersionMax="47" xr10:uidLastSave="{01C6A49F-0873-4BF8-85FC-7E62172FBF92}"/>
  <bookViews>
    <workbookView xWindow="-110" yWindow="-110" windowWidth="19420" windowHeight="10300" activeTab="1" xr2:uid="{80E02269-A3DD-48C4-A8B7-66D9192E8AAD}"/>
  </bookViews>
  <sheets>
    <sheet name="BUS DATA" sheetId="1" r:id="rId1"/>
    <sheet name="BRANCH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<sst xmlns="http://schemas.openxmlformats.org/spreadsheetml/2006/main" count="275" uniqueCount="181">
  <si>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</si>
  <si>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</si>
  <si>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</si>
  <si>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</si>
  <si>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</si>
  <si>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</si>
  <si>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</si>
  <si>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</si>
  <si>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</si>
  <si>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</si>
  <si>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</si>
  <si>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</si>
  <si>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</si>
  <si>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</si>
  <si>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</si>
  <si>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</si>
  <si>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</si>
  <si>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</si>
  <si>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</si>
  <si>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</si>
  <si>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</si>
  <si>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</si>
  <si>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</si>
  <si>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</si>
  <si>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</si>
  <si>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</si>
  <si>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</si>
  <si>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</si>
  <si>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</si>
  <si>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Glen Lyn</t>
  </si>
  <si>
    <t>Claytor</t>
  </si>
  <si>
    <t>Kumis</t>
  </si>
  <si>
    <t>Hancock</t>
  </si>
  <si>
    <t>Fieldale</t>
  </si>
  <si>
    <t>Roanoke</t>
  </si>
  <si>
    <t>Blaine</t>
  </si>
  <si>
    <t>Reusens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</si>
  <si>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</si>
  <si>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</si>
  <si>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</si>
  <si>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</si>
  <si>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</si>
  <si>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</si>
  <si>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</si>
  <si>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</si>
  <si>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</si>
  <si>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</si>
  <si>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</si>
  <si>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</si>
  <si>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</si>
  <si>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Cloverdle</t>
  </si>
  <si>
    <t>Cloverdle1</t>
  </si>
  <si>
    <t>Bus 29</t>
  </si>
  <si>
    <t>Bus 30</t>
  </si>
  <si>
    <t>Nombre</t>
  </si>
  <si>
    <t>Tipo</t>
  </si>
  <si>
    <t>Pmin</t>
  </si>
  <si>
    <t>Pmax</t>
  </si>
  <si>
    <t>Rampa</t>
  </si>
  <si>
    <t>From</t>
  </si>
  <si>
    <t>To</t>
  </si>
  <si>
    <t>R</t>
  </si>
  <si>
    <t>X</t>
  </si>
  <si>
    <t>B</t>
  </si>
  <si>
    <t>1</t>
  </si>
  <si>
    <t>0.0192</t>
  </si>
  <si>
    <t>0.0575</t>
  </si>
  <si>
    <t>0.0528</t>
  </si>
  <si>
    <t>0.0452</t>
  </si>
  <si>
    <t>0.1652</t>
  </si>
  <si>
    <t>0.0408</t>
  </si>
  <si>
    <t>0.0570</t>
  </si>
  <si>
    <t>0.1737</t>
  </si>
  <si>
    <t>0.0368</t>
  </si>
  <si>
    <t>0.0132</t>
  </si>
  <si>
    <t>0.0379</t>
  </si>
  <si>
    <t>0.0084</t>
  </si>
  <si>
    <t>0.0472</t>
  </si>
  <si>
    <t>0.1983</t>
  </si>
  <si>
    <t>0.0418</t>
  </si>
  <si>
    <t>0.0581</t>
  </si>
  <si>
    <t>0.1763</t>
  </si>
  <si>
    <t>0.0374</t>
  </si>
  <si>
    <t>0.0119</t>
  </si>
  <si>
    <t>0.0414</t>
  </si>
  <si>
    <t>0.0090</t>
  </si>
  <si>
    <t>0.0460</t>
  </si>
  <si>
    <t>0.1160</t>
  </si>
  <si>
    <t>0.0204</t>
  </si>
  <si>
    <t>0.0267</t>
  </si>
  <si>
    <t>0.0820</t>
  </si>
  <si>
    <t>0.0170</t>
  </si>
  <si>
    <t>0.0120</t>
  </si>
  <si>
    <t>0.0420</t>
  </si>
  <si>
    <t>0.0</t>
  </si>
  <si>
    <t>0.2080</t>
  </si>
  <si>
    <t>0.5560</t>
  </si>
  <si>
    <t>0.1100</t>
  </si>
  <si>
    <t>0.2560</t>
  </si>
  <si>
    <t>0.1400</t>
  </si>
  <si>
    <t>0.1231</t>
  </si>
  <si>
    <t>0.2559</t>
  </si>
  <si>
    <t>0.0662</t>
  </si>
  <si>
    <t>0.1304</t>
  </si>
  <si>
    <t>0.0945</t>
  </si>
  <si>
    <t>0.1987</t>
  </si>
  <si>
    <t>0.2210</t>
  </si>
  <si>
    <t>0.1997</t>
  </si>
  <si>
    <t>0.0524</t>
  </si>
  <si>
    <t>0.1923</t>
  </si>
  <si>
    <t>0.1073</t>
  </si>
  <si>
    <t>0.2185</t>
  </si>
  <si>
    <t>0.0639</t>
  </si>
  <si>
    <t>0.1292</t>
  </si>
  <si>
    <t>0.0340</t>
  </si>
  <si>
    <t>0.0680</t>
  </si>
  <si>
    <t>0.0936</t>
  </si>
  <si>
    <t>0.2090</t>
  </si>
  <si>
    <t>0.0324</t>
  </si>
  <si>
    <t>0.0845</t>
  </si>
  <si>
    <t>0.0348</t>
  </si>
  <si>
    <t>0.0749</t>
  </si>
  <si>
    <t>0.0727</t>
  </si>
  <si>
    <t>0.1499</t>
  </si>
  <si>
    <t>0.0116</t>
  </si>
  <si>
    <t>0.0236</t>
  </si>
  <si>
    <t>0.1000</t>
  </si>
  <si>
    <t>0.2020</t>
  </si>
  <si>
    <t>0.1150</t>
  </si>
  <si>
    <t>0.1790</t>
  </si>
  <si>
    <t>0.1320</t>
  </si>
  <si>
    <t>0.2700</t>
  </si>
  <si>
    <t>0.1885</t>
  </si>
  <si>
    <t>0.3292</t>
  </si>
  <si>
    <t>0.2544</t>
  </si>
  <si>
    <t>0.3800</t>
  </si>
  <si>
    <t>0.1093</t>
  </si>
  <si>
    <t>0.2087</t>
  </si>
  <si>
    <t>0.3960</t>
  </si>
  <si>
    <t>0.2198</t>
  </si>
  <si>
    <t>0.4153</t>
  </si>
  <si>
    <t>0.3202</t>
  </si>
  <si>
    <t>0.6027</t>
  </si>
  <si>
    <t>0.2399</t>
  </si>
  <si>
    <t>0.4533</t>
  </si>
  <si>
    <t>0.0636</t>
  </si>
  <si>
    <t>0.2000</t>
  </si>
  <si>
    <t>0.0428</t>
  </si>
  <si>
    <t>0.0169</t>
  </si>
  <si>
    <t>0.0599</t>
  </si>
  <si>
    <t>0.0130</t>
  </si>
  <si>
    <t>id</t>
  </si>
  <si>
    <t>C_Variable</t>
  </si>
  <si>
    <t>Costo_On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</si>
  <si>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</si>
  <si>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</si>
  <si>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</si>
  <si>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</si>
  <si>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</si>
  <si>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</si>
  <si>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</si>
  <si>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</si>
  <si>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</si>
  <si>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</si>
  <si>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</si>
  <si>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</si>
  <si>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</si>
  <si>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</si>
  <si>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</si>
  <si>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</si>
  <si>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</si>
  <si>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</si>
  <si>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</si>
  <si>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</si>
  <si>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</si>
  <si>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</si>
  <si>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</si>
  <si>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</si>
  <si>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Costo_Off</t>
  </si>
  <si>
    <t>T_min_On</t>
  </si>
  <si>
    <t>T_min_Off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</si>
</sst>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ACF8-4AE1-492F-B81B-865E1642AE83}">
  <dimension ref="A1:AI31"/>
  <sheetViews>
    <sheetView workbookViewId="0">
      <selection activeCell="L1" sqref="L1"/>
    </sheetView>
  </sheetViews>
  <sheetFormatPr baseColWidth="10" defaultRowHeight="14.5" x14ac:dyDescent="0.35"/>
  <cols>
    <col min="1" max="1" width="19.6328125" customWidth="1"/>
  </cols>
  <sheetData>
    <row r="1" spans="1:35" x14ac:dyDescent="0.35">
      <c r="A1" t="s">
        <v>151</v>
      </c>
      <c r="B1" t="s">
        <v>54</v>
      </c>
      <c r="C1" t="s">
        <v>55</v>
      </c>
      <c r="D1" t="s">
        <v>56</v>
      </c>
      <c r="E1" t="s">
        <v>57</v>
      </c>
      <c r="F1" t="s">
        <v>152</v>
      </c>
      <c r="G1" t="s">
        <v>58</v>
      </c>
      <c r="H1" t="s">
        <v>153</v>
      </c>
      <c r="I1" t="s">
        <v>178</v>
      </c>
      <c r="J1" t="s">
        <v>179</v>
      </c>
      <c r="K1" t="s">
        <v>180</v>
      </c>
      <c r="L1" s="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  <c r="T1" t="s">
        <v>162</v>
      </c>
      <c r="U1" t="s">
        <v>163</v>
      </c>
      <c r="V1" t="s">
        <v>164</v>
      </c>
      <c r="W1" t="s">
        <v>165</v>
      </c>
      <c r="X1" t="s">
        <v>166</v>
      </c>
      <c r="Y1" t="s">
        <v>167</v>
      </c>
      <c r="Z1" t="s">
        <v>168</v>
      </c>
      <c r="AA1" t="s">
        <v>169</v>
      </c>
      <c r="AB1" t="s">
        <v>170</v>
      </c>
      <c r="AC1" t="s">
        <v>171</v>
      </c>
      <c r="AD1" t="s">
        <v>172</v>
      </c>
      <c r="AE1" t="s">
        <v>173</v>
      </c>
      <c r="AF1" t="s">
        <v>174</v>
      </c>
      <c r="AG1" t="s">
        <v>175</v>
      </c>
      <c r="AH1" t="s">
        <v>176</v>
      </c>
      <c r="AI1" t="s">
        <v>177</v>
      </c>
    </row>
    <row r="2" spans="1:35" x14ac:dyDescent="0.35">
      <c r="A2">
        <v>1</v>
      </c>
      <c r="B2" t="s">
        <v>29</v>
      </c>
      <c r="C2">
        <v>1</v>
      </c>
      <c r="D2">
        <v>10</v>
      </c>
      <c r="E2">
        <v>250</v>
      </c>
      <c r="F2">
        <v>20</v>
      </c>
      <c r="G2">
        <v>100</v>
      </c>
      <c r="H2">
        <v>7000</v>
      </c>
      <c r="I2">
        <v>2000</v>
      </c>
      <c r="J2">
        <v>3</v>
      </c>
      <c r="K2">
        <v>3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35">
      <c r="A3">
        <f>A2+1</f>
        <v>2</v>
      </c>
      <c r="B3" t="s">
        <v>30</v>
      </c>
      <c r="C3">
        <v>2</v>
      </c>
      <c r="D3">
        <v>10</v>
      </c>
      <c r="E3">
        <v>300</v>
      </c>
      <c r="F3">
        <v>25</v>
      </c>
      <c r="G3">
        <v>90</v>
      </c>
      <c r="H3">
        <v>6500</v>
      </c>
      <c r="I3">
        <v>1800</v>
      </c>
      <c r="J3" s="1">
        <v>3</v>
      </c>
      <c r="K3">
        <v>3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35">
      <c r="A4">
        <f t="shared" ref="A4:A31" si="0">A3+1</f>
        <v>3</v>
      </c>
      <c r="B4" t="s">
        <v>31</v>
      </c>
      <c r="C4">
        <v>0</v>
      </c>
      <c r="L4">
        <v>1.488</v>
      </c>
      <c r="M4">
        <v>1.44</v>
      </c>
      <c r="N4">
        <v>1.3919999999999999</v>
      </c>
      <c r="O4">
        <v>1.3680000000000001</v>
      </c>
      <c r="P4">
        <v>1.3919999999999999</v>
      </c>
      <c r="Q4">
        <v>1.488</v>
      </c>
      <c r="R4">
        <v>1.68</v>
      </c>
      <c r="S4">
        <v>1.968</v>
      </c>
      <c r="T4">
        <v>2.1120000000000001</v>
      </c>
      <c r="U4">
        <v>2.2080000000000002</v>
      </c>
      <c r="V4">
        <v>2.16</v>
      </c>
      <c r="W4">
        <v>2.0640000000000001</v>
      </c>
      <c r="X4">
        <v>2.016</v>
      </c>
      <c r="Y4">
        <v>2.0640000000000001</v>
      </c>
      <c r="Z4">
        <v>2.16</v>
      </c>
      <c r="AA4">
        <v>2.2559999999999998</v>
      </c>
      <c r="AB4">
        <v>2.3519999999999999</v>
      </c>
      <c r="AC4">
        <v>2.4</v>
      </c>
      <c r="AD4">
        <v>2.4</v>
      </c>
      <c r="AE4">
        <v>2.2799999999999998</v>
      </c>
      <c r="AF4">
        <v>2.1120000000000001</v>
      </c>
      <c r="AG4">
        <v>1.8720000000000001</v>
      </c>
      <c r="AH4">
        <v>1.6319999999999999</v>
      </c>
      <c r="AI4">
        <v>1.488</v>
      </c>
    </row>
    <row r="5" spans="1:35" x14ac:dyDescent="0.35">
      <c r="A5">
        <f t="shared" si="0"/>
        <v>4</v>
      </c>
      <c r="B5" t="s">
        <v>32</v>
      </c>
      <c r="C5">
        <v>0</v>
      </c>
      <c r="L5">
        <v>4.7119999999999997</v>
      </c>
      <c r="M5">
        <v>4.5599999999999996</v>
      </c>
      <c r="N5">
        <v>4.4080000000000004</v>
      </c>
      <c r="O5">
        <v>4.3319999999999999</v>
      </c>
      <c r="P5">
        <v>4.4080000000000004</v>
      </c>
      <c r="Q5">
        <v>4.7119999999999997</v>
      </c>
      <c r="R5">
        <v>5.32</v>
      </c>
      <c r="S5">
        <v>6.2320000000000002</v>
      </c>
      <c r="T5">
        <v>6.6879999999999997</v>
      </c>
      <c r="U5">
        <v>6.992</v>
      </c>
      <c r="V5">
        <v>6.84</v>
      </c>
      <c r="W5">
        <v>6.5359999999999996</v>
      </c>
      <c r="X5">
        <v>6.3840000000000003</v>
      </c>
      <c r="Y5">
        <v>6.5359999999999996</v>
      </c>
      <c r="Z5">
        <v>6.84</v>
      </c>
      <c r="AA5">
        <v>7.1440000000000001</v>
      </c>
      <c r="AB5">
        <v>7.4480000000000004</v>
      </c>
      <c r="AC5">
        <v>7.6</v>
      </c>
      <c r="AD5">
        <v>7.6</v>
      </c>
      <c r="AE5">
        <v>7.22</v>
      </c>
      <c r="AF5">
        <v>6.6879999999999997</v>
      </c>
      <c r="AG5">
        <v>5.9279999999999999</v>
      </c>
      <c r="AH5">
        <v>5.1680000000000001</v>
      </c>
      <c r="AI5">
        <v>4.7119999999999997</v>
      </c>
    </row>
    <row r="6" spans="1:35" x14ac:dyDescent="0.35">
      <c r="A6">
        <f t="shared" si="0"/>
        <v>5</v>
      </c>
      <c r="B6" t="s">
        <v>33</v>
      </c>
      <c r="C6">
        <v>2</v>
      </c>
      <c r="D6">
        <v>10</v>
      </c>
      <c r="E6">
        <v>270</v>
      </c>
      <c r="F6">
        <v>35</v>
      </c>
      <c r="G6">
        <v>70</v>
      </c>
      <c r="H6">
        <v>5000</v>
      </c>
      <c r="I6">
        <v>1500</v>
      </c>
      <c r="J6">
        <v>2</v>
      </c>
      <c r="K6">
        <v>2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35">
      <c r="A7">
        <f t="shared" si="0"/>
        <v>6</v>
      </c>
      <c r="B7" t="s">
        <v>34</v>
      </c>
      <c r="C7">
        <v>0</v>
      </c>
      <c r="H7" s="1"/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35">
      <c r="A8">
        <f t="shared" si="0"/>
        <v>7</v>
      </c>
      <c r="B8" t="s">
        <v>35</v>
      </c>
      <c r="C8">
        <v>0</v>
      </c>
      <c r="L8">
        <v>14.135999999999999</v>
      </c>
      <c r="M8">
        <v>13.68</v>
      </c>
      <c r="N8">
        <v>13.224</v>
      </c>
      <c r="O8">
        <v>12.996</v>
      </c>
      <c r="P8">
        <v>13.224</v>
      </c>
      <c r="Q8">
        <v>14.135999999999999</v>
      </c>
      <c r="R8">
        <v>15.96</v>
      </c>
      <c r="S8">
        <v>18.696000000000002</v>
      </c>
      <c r="T8">
        <v>20.064</v>
      </c>
      <c r="U8">
        <v>20.975999999999999</v>
      </c>
      <c r="V8">
        <v>20.52</v>
      </c>
      <c r="W8">
        <v>19.608000000000001</v>
      </c>
      <c r="X8">
        <v>19.152000000000001</v>
      </c>
      <c r="Y8">
        <v>19.608000000000001</v>
      </c>
      <c r="Z8">
        <v>20.52</v>
      </c>
      <c r="AA8">
        <v>21.431999999999999</v>
      </c>
      <c r="AB8">
        <v>22.344000000000001</v>
      </c>
      <c r="AC8">
        <v>22.8</v>
      </c>
      <c r="AD8">
        <v>22.8</v>
      </c>
      <c r="AE8">
        <v>21.66</v>
      </c>
      <c r="AF8">
        <v>20.064</v>
      </c>
      <c r="AG8">
        <v>17.783999999999999</v>
      </c>
      <c r="AH8">
        <v>15.504</v>
      </c>
      <c r="AI8">
        <v>14.135999999999999</v>
      </c>
    </row>
    <row r="9" spans="1:35" x14ac:dyDescent="0.35">
      <c r="A9">
        <f t="shared" si="0"/>
        <v>8</v>
      </c>
      <c r="B9" t="s">
        <v>36</v>
      </c>
      <c r="C9">
        <v>2</v>
      </c>
      <c r="D9" s="1">
        <v>10</v>
      </c>
      <c r="E9">
        <v>300</v>
      </c>
      <c r="F9">
        <v>40</v>
      </c>
      <c r="G9">
        <v>70</v>
      </c>
      <c r="H9">
        <v>5200</v>
      </c>
      <c r="I9">
        <v>1500</v>
      </c>
      <c r="J9">
        <v>2</v>
      </c>
      <c r="K9">
        <v>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35">
      <c r="A10">
        <f t="shared" si="0"/>
        <v>9</v>
      </c>
      <c r="B10" t="s">
        <v>34</v>
      </c>
      <c r="C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35">
      <c r="A11">
        <f t="shared" si="0"/>
        <v>10</v>
      </c>
      <c r="B11" t="s">
        <v>34</v>
      </c>
      <c r="C11">
        <v>0</v>
      </c>
      <c r="L11">
        <v>3.5960000000000001</v>
      </c>
      <c r="M11">
        <v>3.48</v>
      </c>
      <c r="N11">
        <v>3.3639999999999999</v>
      </c>
      <c r="O11">
        <v>3.306</v>
      </c>
      <c r="P11">
        <v>3.3639999999999999</v>
      </c>
      <c r="Q11">
        <v>3.5960000000000001</v>
      </c>
      <c r="R11">
        <v>4.0599999999999996</v>
      </c>
      <c r="S11">
        <v>4.7560000000000002</v>
      </c>
      <c r="T11">
        <v>5.1040000000000001</v>
      </c>
      <c r="U11">
        <v>5.3360000000000003</v>
      </c>
      <c r="V11">
        <v>5.22</v>
      </c>
      <c r="W11">
        <v>4.9880000000000004</v>
      </c>
      <c r="X11">
        <v>4.8719999999999999</v>
      </c>
      <c r="Y11">
        <v>4.9880000000000004</v>
      </c>
      <c r="Z11">
        <v>5.22</v>
      </c>
      <c r="AA11">
        <v>5.452</v>
      </c>
      <c r="AB11">
        <v>5.6840000000000002</v>
      </c>
      <c r="AC11">
        <v>5.8</v>
      </c>
      <c r="AD11">
        <v>5.8</v>
      </c>
      <c r="AE11">
        <v>5.51</v>
      </c>
      <c r="AF11">
        <v>5.1040000000000001</v>
      </c>
      <c r="AG11">
        <v>4.524</v>
      </c>
      <c r="AH11">
        <v>3.944</v>
      </c>
      <c r="AI11">
        <v>3.5960000000000001</v>
      </c>
    </row>
    <row r="12" spans="1:35" x14ac:dyDescent="0.35">
      <c r="A12">
        <f t="shared" si="0"/>
        <v>11</v>
      </c>
      <c r="B12" t="s">
        <v>34</v>
      </c>
      <c r="C12">
        <v>2</v>
      </c>
      <c r="D12">
        <v>10</v>
      </c>
      <c r="E12">
        <v>200</v>
      </c>
      <c r="F12">
        <v>45</v>
      </c>
      <c r="G12">
        <v>50</v>
      </c>
      <c r="H12">
        <v>4000</v>
      </c>
      <c r="I12">
        <v>1200</v>
      </c>
      <c r="J12">
        <v>2</v>
      </c>
      <c r="K12">
        <v>2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5" x14ac:dyDescent="0.35">
      <c r="A13">
        <f t="shared" si="0"/>
        <v>12</v>
      </c>
      <c r="B13" t="s">
        <v>32</v>
      </c>
      <c r="C13">
        <v>0</v>
      </c>
      <c r="L13">
        <v>6.944</v>
      </c>
      <c r="M13">
        <v>6.72</v>
      </c>
      <c r="N13">
        <v>6.4960000000000004</v>
      </c>
      <c r="O13">
        <v>6.3840000000000003</v>
      </c>
      <c r="P13">
        <v>6.4960000000000004</v>
      </c>
      <c r="Q13">
        <v>6.944</v>
      </c>
      <c r="R13">
        <v>7.84</v>
      </c>
      <c r="S13">
        <v>9.1839999999999993</v>
      </c>
      <c r="T13">
        <v>9.8559999999999999</v>
      </c>
      <c r="U13">
        <v>10.304</v>
      </c>
      <c r="V13">
        <v>10.08</v>
      </c>
      <c r="W13">
        <v>9.6319999999999997</v>
      </c>
      <c r="X13">
        <v>9.4079999999999995</v>
      </c>
      <c r="Y13">
        <v>9.6319999999999997</v>
      </c>
      <c r="Z13">
        <v>10.08</v>
      </c>
      <c r="AA13">
        <v>10.528</v>
      </c>
      <c r="AB13">
        <v>10.976000000000001</v>
      </c>
      <c r="AC13">
        <v>11.2</v>
      </c>
      <c r="AD13">
        <v>11.2</v>
      </c>
      <c r="AE13">
        <v>10.64</v>
      </c>
      <c r="AF13">
        <v>9.8559999999999999</v>
      </c>
      <c r="AG13">
        <v>8.7360000000000007</v>
      </c>
      <c r="AH13">
        <v>7.6159999999999997</v>
      </c>
      <c r="AI13">
        <v>6.944</v>
      </c>
    </row>
    <row r="14" spans="1:35" x14ac:dyDescent="0.35">
      <c r="A14">
        <f t="shared" si="0"/>
        <v>13</v>
      </c>
      <c r="B14" t="s">
        <v>32</v>
      </c>
      <c r="C14">
        <v>2</v>
      </c>
      <c r="D14">
        <v>10</v>
      </c>
      <c r="E14">
        <v>150</v>
      </c>
      <c r="F14">
        <v>50</v>
      </c>
      <c r="G14">
        <v>40</v>
      </c>
      <c r="H14">
        <v>3500</v>
      </c>
      <c r="I14">
        <v>1000</v>
      </c>
      <c r="J14">
        <v>2</v>
      </c>
      <c r="K14">
        <v>2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5" x14ac:dyDescent="0.35">
      <c r="A15">
        <f t="shared" si="0"/>
        <v>14</v>
      </c>
      <c r="B15" t="s">
        <v>37</v>
      </c>
      <c r="C15">
        <v>0</v>
      </c>
      <c r="L15">
        <v>3.8439999999999999</v>
      </c>
      <c r="M15">
        <v>3.72</v>
      </c>
      <c r="N15">
        <v>3.5960000000000001</v>
      </c>
      <c r="O15">
        <v>3.5339999999999998</v>
      </c>
      <c r="P15">
        <v>3.5960000000000001</v>
      </c>
      <c r="Q15">
        <v>3.8439999999999999</v>
      </c>
      <c r="R15">
        <v>4.34</v>
      </c>
      <c r="S15">
        <v>5.0839999999999996</v>
      </c>
      <c r="T15">
        <v>5.4560000000000004</v>
      </c>
      <c r="U15">
        <v>5.7039999999999997</v>
      </c>
      <c r="V15">
        <v>5.58</v>
      </c>
      <c r="W15">
        <v>5.3319999999999999</v>
      </c>
      <c r="X15">
        <v>5.2080000000000002</v>
      </c>
      <c r="Y15">
        <v>5.3319999999999999</v>
      </c>
      <c r="Z15">
        <v>5.58</v>
      </c>
      <c r="AA15">
        <v>5.8280000000000003</v>
      </c>
      <c r="AB15">
        <v>6.0759999999999996</v>
      </c>
      <c r="AC15">
        <v>6.2</v>
      </c>
      <c r="AD15">
        <v>6.2</v>
      </c>
      <c r="AE15">
        <v>5.89</v>
      </c>
      <c r="AF15">
        <v>5.4560000000000004</v>
      </c>
      <c r="AG15">
        <v>4.8360000000000003</v>
      </c>
      <c r="AH15">
        <v>4.2160000000000002</v>
      </c>
      <c r="AI15">
        <v>3.8439999999999999</v>
      </c>
    </row>
    <row r="16" spans="1:35" x14ac:dyDescent="0.35">
      <c r="A16">
        <f t="shared" si="0"/>
        <v>15</v>
      </c>
      <c r="B16" t="s">
        <v>38</v>
      </c>
      <c r="C16">
        <v>0</v>
      </c>
      <c r="L16">
        <v>5.0839999999999996</v>
      </c>
      <c r="M16">
        <v>4.92</v>
      </c>
      <c r="N16">
        <v>4.7560000000000002</v>
      </c>
      <c r="O16">
        <v>4.6740000000000004</v>
      </c>
      <c r="P16">
        <v>4.7560000000000002</v>
      </c>
      <c r="Q16">
        <v>5.0839999999999996</v>
      </c>
      <c r="R16">
        <v>5.74</v>
      </c>
      <c r="S16">
        <v>6.7240000000000002</v>
      </c>
      <c r="T16">
        <v>7.2160000000000002</v>
      </c>
      <c r="U16">
        <v>7.5439999999999996</v>
      </c>
      <c r="V16">
        <v>7.38</v>
      </c>
      <c r="W16">
        <v>7.0519999999999996</v>
      </c>
      <c r="X16">
        <v>6.8879999999999999</v>
      </c>
      <c r="Y16">
        <v>7.0519999999999996</v>
      </c>
      <c r="Z16">
        <v>7.38</v>
      </c>
      <c r="AA16">
        <v>7.7080000000000002</v>
      </c>
      <c r="AB16">
        <v>8.0359999999999996</v>
      </c>
      <c r="AC16">
        <v>8.1999999999999993</v>
      </c>
      <c r="AD16">
        <v>8.1999999999999993</v>
      </c>
      <c r="AE16">
        <v>7.79</v>
      </c>
      <c r="AF16">
        <v>7.2160000000000002</v>
      </c>
      <c r="AG16">
        <v>6.3959999999999999</v>
      </c>
      <c r="AH16">
        <v>5.5759999999999996</v>
      </c>
      <c r="AI16">
        <v>5.0839999999999996</v>
      </c>
    </row>
    <row r="17" spans="1:35" x14ac:dyDescent="0.35">
      <c r="A17">
        <f t="shared" si="0"/>
        <v>16</v>
      </c>
      <c r="B17" t="s">
        <v>39</v>
      </c>
      <c r="C17">
        <v>0</v>
      </c>
      <c r="L17">
        <v>2.17</v>
      </c>
      <c r="M17">
        <v>2.1</v>
      </c>
      <c r="N17">
        <v>2.0299999999999998</v>
      </c>
      <c r="O17">
        <v>1.9950000000000001</v>
      </c>
      <c r="P17">
        <v>2.0299999999999998</v>
      </c>
      <c r="Q17">
        <v>2.17</v>
      </c>
      <c r="R17">
        <v>2.4500000000000002</v>
      </c>
      <c r="S17">
        <v>2.87</v>
      </c>
      <c r="T17">
        <v>3.08</v>
      </c>
      <c r="U17">
        <v>3.22</v>
      </c>
      <c r="V17">
        <v>3.15</v>
      </c>
      <c r="W17">
        <v>3.01</v>
      </c>
      <c r="X17">
        <v>2.94</v>
      </c>
      <c r="Y17">
        <v>3.01</v>
      </c>
      <c r="Z17">
        <v>3.15</v>
      </c>
      <c r="AA17">
        <v>3.29</v>
      </c>
      <c r="AB17">
        <v>3.43</v>
      </c>
      <c r="AC17">
        <v>3.5</v>
      </c>
      <c r="AD17">
        <v>3.5</v>
      </c>
      <c r="AE17">
        <v>3.3250000000000002</v>
      </c>
      <c r="AF17">
        <v>3.08</v>
      </c>
      <c r="AG17">
        <v>2.73</v>
      </c>
      <c r="AH17">
        <v>2.38</v>
      </c>
      <c r="AI17">
        <v>2.17</v>
      </c>
    </row>
    <row r="18" spans="1:35" x14ac:dyDescent="0.35">
      <c r="A18">
        <f t="shared" si="0"/>
        <v>17</v>
      </c>
      <c r="B18" t="s">
        <v>40</v>
      </c>
      <c r="C18">
        <v>0</v>
      </c>
      <c r="L18">
        <v>5.58</v>
      </c>
      <c r="M18">
        <v>5.4</v>
      </c>
      <c r="N18">
        <v>5.22</v>
      </c>
      <c r="O18">
        <v>5.13</v>
      </c>
      <c r="P18">
        <v>5.22</v>
      </c>
      <c r="Q18">
        <v>5.58</v>
      </c>
      <c r="R18">
        <v>6.3</v>
      </c>
      <c r="S18">
        <v>7.38</v>
      </c>
      <c r="T18">
        <v>7.92</v>
      </c>
      <c r="U18">
        <v>8.2799999999999994</v>
      </c>
      <c r="V18">
        <v>8.1</v>
      </c>
      <c r="W18">
        <v>7.74</v>
      </c>
      <c r="X18">
        <v>7.56</v>
      </c>
      <c r="Y18">
        <v>7.74</v>
      </c>
      <c r="Z18">
        <v>8.1</v>
      </c>
      <c r="AA18">
        <v>8.4600000000000009</v>
      </c>
      <c r="AB18">
        <v>8.82</v>
      </c>
      <c r="AC18">
        <v>9</v>
      </c>
      <c r="AD18">
        <v>9</v>
      </c>
      <c r="AE18">
        <v>8.5500000000000007</v>
      </c>
      <c r="AF18">
        <v>7.92</v>
      </c>
      <c r="AG18">
        <v>7.02</v>
      </c>
      <c r="AH18">
        <v>6.12</v>
      </c>
      <c r="AI18">
        <v>5.58</v>
      </c>
    </row>
    <row r="19" spans="1:35" x14ac:dyDescent="0.35">
      <c r="A19">
        <f t="shared" si="0"/>
        <v>18</v>
      </c>
      <c r="B19" t="s">
        <v>41</v>
      </c>
      <c r="C19">
        <v>0</v>
      </c>
      <c r="L19">
        <v>1.984</v>
      </c>
      <c r="M19">
        <v>1.92</v>
      </c>
      <c r="N19">
        <v>1.8560000000000001</v>
      </c>
      <c r="O19">
        <v>1.8240000000000001</v>
      </c>
      <c r="P19">
        <v>1.8560000000000001</v>
      </c>
      <c r="Q19">
        <v>1.984</v>
      </c>
      <c r="R19">
        <v>2.2400000000000002</v>
      </c>
      <c r="S19">
        <v>2.6240000000000001</v>
      </c>
      <c r="T19">
        <v>2.8159999999999998</v>
      </c>
      <c r="U19">
        <v>2.944</v>
      </c>
      <c r="V19">
        <v>2.88</v>
      </c>
      <c r="W19">
        <v>2.7519999999999998</v>
      </c>
      <c r="X19">
        <v>2.6880000000000002</v>
      </c>
      <c r="Y19">
        <v>2.7519999999999998</v>
      </c>
      <c r="Z19">
        <v>2.88</v>
      </c>
      <c r="AA19">
        <v>3.008</v>
      </c>
      <c r="AB19">
        <v>3.1360000000000001</v>
      </c>
      <c r="AC19">
        <v>3.2</v>
      </c>
      <c r="AD19">
        <v>3.2</v>
      </c>
      <c r="AE19">
        <v>3.04</v>
      </c>
      <c r="AF19">
        <v>2.8159999999999998</v>
      </c>
      <c r="AG19">
        <v>2.496</v>
      </c>
      <c r="AH19">
        <v>2.1760000000000002</v>
      </c>
      <c r="AI19">
        <v>1.984</v>
      </c>
    </row>
    <row r="20" spans="1:35" x14ac:dyDescent="0.35">
      <c r="A20">
        <f t="shared" si="0"/>
        <v>19</v>
      </c>
      <c r="B20" t="s">
        <v>42</v>
      </c>
      <c r="C20">
        <v>0</v>
      </c>
      <c r="L20">
        <v>5.89</v>
      </c>
      <c r="M20">
        <v>5.7</v>
      </c>
      <c r="N20">
        <v>5.51</v>
      </c>
      <c r="O20">
        <v>5.415</v>
      </c>
      <c r="P20">
        <v>5.51</v>
      </c>
      <c r="Q20">
        <v>5.89</v>
      </c>
      <c r="R20">
        <v>6.65</v>
      </c>
      <c r="S20">
        <v>7.79</v>
      </c>
      <c r="T20">
        <v>8.36</v>
      </c>
      <c r="U20">
        <v>8.74</v>
      </c>
      <c r="V20">
        <v>8.5500000000000007</v>
      </c>
      <c r="W20">
        <v>8.17</v>
      </c>
      <c r="X20">
        <v>7.98</v>
      </c>
      <c r="Y20">
        <v>8.17</v>
      </c>
      <c r="Z20">
        <v>8.5500000000000007</v>
      </c>
      <c r="AA20">
        <v>8.93</v>
      </c>
      <c r="AB20">
        <v>9.31</v>
      </c>
      <c r="AC20">
        <v>9.5</v>
      </c>
      <c r="AD20">
        <v>9.5</v>
      </c>
      <c r="AE20">
        <v>9.0250000000000004</v>
      </c>
      <c r="AF20">
        <v>8.36</v>
      </c>
      <c r="AG20">
        <v>7.41</v>
      </c>
      <c r="AH20">
        <v>6.46</v>
      </c>
      <c r="AI20">
        <v>5.89</v>
      </c>
    </row>
    <row r="21" spans="1:35" x14ac:dyDescent="0.35">
      <c r="A21">
        <f t="shared" si="0"/>
        <v>20</v>
      </c>
      <c r="B21" t="s">
        <v>43</v>
      </c>
      <c r="C21">
        <v>0</v>
      </c>
      <c r="L21">
        <v>1.3640000000000001</v>
      </c>
      <c r="M21">
        <v>1.32</v>
      </c>
      <c r="N21">
        <v>1.276</v>
      </c>
      <c r="O21">
        <v>1.254</v>
      </c>
      <c r="P21">
        <v>1.276</v>
      </c>
      <c r="Q21">
        <v>1.3640000000000001</v>
      </c>
      <c r="R21">
        <v>1.54</v>
      </c>
      <c r="S21">
        <v>1.804</v>
      </c>
      <c r="T21">
        <v>1.9359999999999999</v>
      </c>
      <c r="U21">
        <v>2.024</v>
      </c>
      <c r="V21">
        <v>1.98</v>
      </c>
      <c r="W21">
        <v>1.8919999999999999</v>
      </c>
      <c r="X21">
        <v>1.8480000000000001</v>
      </c>
      <c r="Y21">
        <v>1.8919999999999999</v>
      </c>
      <c r="Z21">
        <v>1.98</v>
      </c>
      <c r="AA21">
        <v>2.0680000000000001</v>
      </c>
      <c r="AB21">
        <v>2.1560000000000001</v>
      </c>
      <c r="AC21">
        <v>2.2000000000000002</v>
      </c>
      <c r="AD21">
        <v>2.2000000000000002</v>
      </c>
      <c r="AE21">
        <v>2.09</v>
      </c>
      <c r="AF21">
        <v>1.9359999999999999</v>
      </c>
      <c r="AG21">
        <v>1.716</v>
      </c>
      <c r="AH21">
        <v>1.496</v>
      </c>
      <c r="AI21">
        <v>1.3640000000000001</v>
      </c>
    </row>
    <row r="22" spans="1:35" x14ac:dyDescent="0.35">
      <c r="A22">
        <f t="shared" si="0"/>
        <v>21</v>
      </c>
      <c r="B22" t="s">
        <v>44</v>
      </c>
      <c r="C22">
        <v>0</v>
      </c>
      <c r="L22">
        <v>10.85</v>
      </c>
      <c r="M22">
        <v>10.5</v>
      </c>
      <c r="N22">
        <v>10.15</v>
      </c>
      <c r="O22">
        <v>9.9749999999999996</v>
      </c>
      <c r="P22">
        <v>10.15</v>
      </c>
      <c r="Q22">
        <v>10.85</v>
      </c>
      <c r="R22">
        <v>12.25</v>
      </c>
      <c r="S22">
        <v>14.35</v>
      </c>
      <c r="T22">
        <v>15.4</v>
      </c>
      <c r="U22">
        <v>16.100000000000001</v>
      </c>
      <c r="V22">
        <v>15.75</v>
      </c>
      <c r="W22">
        <v>15.05</v>
      </c>
      <c r="X22">
        <v>14.7</v>
      </c>
      <c r="Y22">
        <v>15.05</v>
      </c>
      <c r="Z22">
        <v>15.75</v>
      </c>
      <c r="AA22">
        <v>16.45</v>
      </c>
      <c r="AB22">
        <v>17.149999999999999</v>
      </c>
      <c r="AC22">
        <v>17.5</v>
      </c>
      <c r="AD22">
        <v>17.5</v>
      </c>
      <c r="AE22">
        <v>16.625</v>
      </c>
      <c r="AF22">
        <v>15.4</v>
      </c>
      <c r="AG22">
        <v>13.65</v>
      </c>
      <c r="AH22">
        <v>11.9</v>
      </c>
      <c r="AI22">
        <v>10.85</v>
      </c>
    </row>
    <row r="23" spans="1:35" x14ac:dyDescent="0.35">
      <c r="A23">
        <f t="shared" si="0"/>
        <v>22</v>
      </c>
      <c r="B23" t="s">
        <v>45</v>
      </c>
      <c r="C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</row>
    <row r="24" spans="1:35" x14ac:dyDescent="0.35">
      <c r="A24">
        <f t="shared" si="0"/>
        <v>23</v>
      </c>
      <c r="B24" t="s">
        <v>46</v>
      </c>
      <c r="C24">
        <v>0</v>
      </c>
      <c r="L24">
        <v>1.984</v>
      </c>
      <c r="M24">
        <v>1.92</v>
      </c>
      <c r="N24">
        <v>1.8560000000000001</v>
      </c>
      <c r="O24">
        <v>1.8240000000000001</v>
      </c>
      <c r="P24">
        <v>1.8560000000000001</v>
      </c>
      <c r="Q24">
        <v>1.984</v>
      </c>
      <c r="R24">
        <v>2.2400000000000002</v>
      </c>
      <c r="S24">
        <v>2.6240000000000001</v>
      </c>
      <c r="T24">
        <v>2.8159999999999998</v>
      </c>
      <c r="U24">
        <v>2.944</v>
      </c>
      <c r="V24">
        <v>2.88</v>
      </c>
      <c r="W24">
        <v>2.7519999999999998</v>
      </c>
      <c r="X24">
        <v>2.6880000000000002</v>
      </c>
      <c r="Y24">
        <v>2.7519999999999998</v>
      </c>
      <c r="Z24">
        <v>2.88</v>
      </c>
      <c r="AA24">
        <v>3.008</v>
      </c>
      <c r="AB24">
        <v>3.1360000000000001</v>
      </c>
      <c r="AC24">
        <v>3.2</v>
      </c>
      <c r="AD24">
        <v>3.2</v>
      </c>
      <c r="AE24">
        <v>3.04</v>
      </c>
      <c r="AF24">
        <v>2.8159999999999998</v>
      </c>
      <c r="AG24">
        <v>2.496</v>
      </c>
      <c r="AH24">
        <v>2.1760000000000002</v>
      </c>
      <c r="AI24">
        <v>1.984</v>
      </c>
    </row>
    <row r="25" spans="1:35" x14ac:dyDescent="0.35">
      <c r="A25">
        <f t="shared" si="0"/>
        <v>24</v>
      </c>
      <c r="B25" t="s">
        <v>47</v>
      </c>
      <c r="C25">
        <v>0</v>
      </c>
      <c r="L25">
        <v>5.3940000000000001</v>
      </c>
      <c r="M25">
        <v>5.22</v>
      </c>
      <c r="N25">
        <v>5.0460000000000003</v>
      </c>
      <c r="O25">
        <v>4.9589999999999996</v>
      </c>
      <c r="P25">
        <v>5.0460000000000003</v>
      </c>
      <c r="Q25">
        <v>5.3940000000000001</v>
      </c>
      <c r="R25">
        <v>6.09</v>
      </c>
      <c r="S25">
        <v>7.1340000000000003</v>
      </c>
      <c r="T25">
        <v>7.6559999999999997</v>
      </c>
      <c r="U25">
        <v>8.0039999999999996</v>
      </c>
      <c r="V25">
        <v>7.83</v>
      </c>
      <c r="W25">
        <v>7.4820000000000002</v>
      </c>
      <c r="X25">
        <v>7.3079999999999998</v>
      </c>
      <c r="Y25">
        <v>7.4820000000000002</v>
      </c>
      <c r="Z25">
        <v>7.83</v>
      </c>
      <c r="AA25">
        <v>8.1780000000000008</v>
      </c>
      <c r="AB25">
        <v>8.5259999999999998</v>
      </c>
      <c r="AC25">
        <v>8.6999999999999993</v>
      </c>
      <c r="AD25">
        <v>8.6999999999999993</v>
      </c>
      <c r="AE25">
        <v>8.2650000000000006</v>
      </c>
      <c r="AF25">
        <v>7.6559999999999997</v>
      </c>
      <c r="AG25">
        <v>6.7859999999999996</v>
      </c>
      <c r="AH25">
        <v>5.9160000000000004</v>
      </c>
      <c r="AI25">
        <v>5.3940000000000001</v>
      </c>
    </row>
    <row r="26" spans="1:35" x14ac:dyDescent="0.35">
      <c r="A26">
        <f t="shared" si="0"/>
        <v>25</v>
      </c>
      <c r="B26" t="s">
        <v>48</v>
      </c>
      <c r="C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</row>
    <row r="27" spans="1:35" x14ac:dyDescent="0.35">
      <c r="A27">
        <f t="shared" si="0"/>
        <v>26</v>
      </c>
      <c r="B27" t="s">
        <v>49</v>
      </c>
      <c r="C27">
        <v>0</v>
      </c>
      <c r="L27">
        <v>2.17</v>
      </c>
      <c r="M27">
        <v>2.1</v>
      </c>
      <c r="N27">
        <v>2.0299999999999998</v>
      </c>
      <c r="O27">
        <v>1.9950000000000001</v>
      </c>
      <c r="P27">
        <v>2.0299999999999998</v>
      </c>
      <c r="Q27">
        <v>2.17</v>
      </c>
      <c r="R27">
        <v>2.4500000000000002</v>
      </c>
      <c r="S27">
        <v>2.87</v>
      </c>
      <c r="T27">
        <v>3.08</v>
      </c>
      <c r="U27">
        <v>3.22</v>
      </c>
      <c r="V27">
        <v>3.15</v>
      </c>
      <c r="W27">
        <v>3.01</v>
      </c>
      <c r="X27">
        <v>2.94</v>
      </c>
      <c r="Y27">
        <v>3.01</v>
      </c>
      <c r="Z27">
        <v>3.15</v>
      </c>
      <c r="AA27">
        <v>3.29</v>
      </c>
      <c r="AB27">
        <v>3.43</v>
      </c>
      <c r="AC27">
        <v>3.5</v>
      </c>
      <c r="AD27">
        <v>3.5</v>
      </c>
      <c r="AE27">
        <v>3.3250000000000002</v>
      </c>
      <c r="AF27">
        <v>3.08</v>
      </c>
      <c r="AG27">
        <v>2.73</v>
      </c>
      <c r="AH27">
        <v>2.38</v>
      </c>
      <c r="AI27">
        <v>2.17</v>
      </c>
    </row>
    <row r="28" spans="1:35" x14ac:dyDescent="0.35">
      <c r="A28">
        <f t="shared" si="0"/>
        <v>27</v>
      </c>
      <c r="B28" t="s">
        <v>50</v>
      </c>
      <c r="C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</row>
    <row r="29" spans="1:35" x14ac:dyDescent="0.35">
      <c r="A29">
        <f t="shared" si="0"/>
        <v>28</v>
      </c>
      <c r="B29" t="s">
        <v>51</v>
      </c>
      <c r="C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</row>
    <row r="30" spans="1:35" x14ac:dyDescent="0.35">
      <c r="A30">
        <f t="shared" si="0"/>
        <v>29</v>
      </c>
      <c r="B30" t="s">
        <v>52</v>
      </c>
      <c r="C30">
        <v>0</v>
      </c>
      <c r="L30">
        <v>1.488</v>
      </c>
      <c r="M30">
        <v>1.44</v>
      </c>
      <c r="N30">
        <v>1.3919999999999999</v>
      </c>
      <c r="O30">
        <v>1.3680000000000001</v>
      </c>
      <c r="P30">
        <v>1.3919999999999999</v>
      </c>
      <c r="Q30">
        <v>1.488</v>
      </c>
      <c r="R30">
        <v>1.68</v>
      </c>
      <c r="S30">
        <v>1.968</v>
      </c>
      <c r="T30">
        <v>2.1120000000000001</v>
      </c>
      <c r="U30">
        <v>2.2080000000000002</v>
      </c>
      <c r="V30">
        <v>2.16</v>
      </c>
      <c r="W30">
        <v>2.0640000000000001</v>
      </c>
      <c r="X30">
        <v>2.016</v>
      </c>
      <c r="Y30">
        <v>2.0640000000000001</v>
      </c>
      <c r="Z30">
        <v>2.16</v>
      </c>
      <c r="AA30">
        <v>2.2559999999999998</v>
      </c>
      <c r="AB30">
        <v>2.3519999999999999</v>
      </c>
      <c r="AC30">
        <v>2.4</v>
      </c>
      <c r="AD30">
        <v>2.4</v>
      </c>
      <c r="AE30">
        <v>2.2799999999999998</v>
      </c>
      <c r="AF30">
        <v>2.1120000000000001</v>
      </c>
      <c r="AG30">
        <v>1.8720000000000001</v>
      </c>
      <c r="AH30">
        <v>1.6319999999999999</v>
      </c>
      <c r="AI30">
        <v>1.488</v>
      </c>
    </row>
    <row r="31" spans="1:35" x14ac:dyDescent="0.35">
      <c r="A31">
        <f t="shared" si="0"/>
        <v>30</v>
      </c>
      <c r="B31" t="s">
        <v>53</v>
      </c>
      <c r="C31">
        <v>0</v>
      </c>
      <c r="L31" s="1">
        <v>6.5720000000000001</v>
      </c>
      <c r="M31">
        <v>6.36</v>
      </c>
      <c r="N31">
        <v>6.1479999999999997</v>
      </c>
      <c r="O31">
        <v>6.0419999999999998</v>
      </c>
      <c r="P31">
        <v>6.1479999999999997</v>
      </c>
      <c r="Q31">
        <v>6.5720000000000001</v>
      </c>
      <c r="R31">
        <v>7.42</v>
      </c>
      <c r="S31">
        <v>8.6920000000000002</v>
      </c>
      <c r="T31">
        <v>9.3279999999999994</v>
      </c>
      <c r="U31">
        <v>9.7520000000000007</v>
      </c>
      <c r="V31">
        <v>9.5399999999999991</v>
      </c>
      <c r="W31">
        <v>9.1159999999999997</v>
      </c>
      <c r="X31">
        <v>8.9039999999999999</v>
      </c>
      <c r="Y31">
        <v>9.1159999999999997</v>
      </c>
      <c r="Z31">
        <v>9.5399999999999991</v>
      </c>
      <c r="AA31">
        <v>9.9640000000000004</v>
      </c>
      <c r="AB31">
        <v>10.388</v>
      </c>
      <c r="AC31">
        <v>10.6</v>
      </c>
      <c r="AD31">
        <v>10.6</v>
      </c>
      <c r="AE31">
        <v>10.07</v>
      </c>
      <c r="AF31">
        <v>9.3279999999999994</v>
      </c>
      <c r="AG31">
        <v>8.2680000000000007</v>
      </c>
      <c r="AH31">
        <v>7.2080000000000002</v>
      </c>
      <c r="AI31">
        <v>6.5720000000000001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CDC2-C0CF-4956-A906-A15257791613}">
  <dimension ref="A1:H42"/>
  <sheetViews>
    <sheetView tabSelected="1" topLeftCell="A26" workbookViewId="0">
      <selection activeCell="H42" sqref="H42"/>
    </sheetView>
  </sheetViews>
  <sheetFormatPr baseColWidth="10" defaultRowHeight="14.5" x14ac:dyDescent="0.35"/>
  <sheetData>
    <row r="1" spans="1:5" x14ac:dyDescent="0.35">
      <c r="A1" t="s">
        <v>59</v>
      </c>
      <c r="B1" t="s">
        <v>60</v>
      </c>
      <c r="C1" t="s">
        <v>61</v>
      </c>
      <c r="D1" t="s">
        <v>62</v>
      </c>
      <c r="E1" t="s">
        <v>63</v>
      </c>
    </row>
    <row r="2" spans="1:5" x14ac:dyDescent="0.35">
      <c r="A2" t="s">
        <v>64</v>
      </c>
      <c r="B2" t="s">
        <v>0</v>
      </c>
      <c r="C2" t="s">
        <v>65</v>
      </c>
      <c r="D2" t="s">
        <v>66</v>
      </c>
      <c r="E2" t="s">
        <v>67</v>
      </c>
    </row>
    <row r="3" spans="1:5" x14ac:dyDescent="0.35">
      <c r="A3" t="s">
        <v>64</v>
      </c>
      <c r="B3" t="s">
        <v>1</v>
      </c>
      <c r="C3" t="s">
        <v>68</v>
      </c>
      <c r="D3" t="s">
        <v>69</v>
      </c>
      <c r="E3" t="s">
        <v>70</v>
      </c>
    </row>
    <row r="4" spans="1:5" x14ac:dyDescent="0.35">
      <c r="A4" t="s">
        <v>0</v>
      </c>
      <c r="B4" t="s">
        <v>2</v>
      </c>
      <c r="C4" t="s">
        <v>71</v>
      </c>
      <c r="D4" t="s">
        <v>72</v>
      </c>
      <c r="E4" t="s">
        <v>73</v>
      </c>
    </row>
    <row r="5" spans="1:5" x14ac:dyDescent="0.35">
      <c r="A5" t="s">
        <v>1</v>
      </c>
      <c r="B5" t="s">
        <v>2</v>
      </c>
      <c r="C5" t="s">
        <v>74</v>
      </c>
      <c r="D5" t="s">
        <v>75</v>
      </c>
      <c r="E5" t="s">
        <v>76</v>
      </c>
    </row>
    <row r="6" spans="1:5" x14ac:dyDescent="0.35">
      <c r="A6" t="s">
        <v>0</v>
      </c>
      <c r="B6" t="s">
        <v>3</v>
      </c>
      <c r="C6" t="s">
        <v>77</v>
      </c>
      <c r="D6" t="s">
        <v>78</v>
      </c>
      <c r="E6" t="s">
        <v>79</v>
      </c>
    </row>
    <row r="7" spans="1:5" x14ac:dyDescent="0.35">
      <c r="A7" t="s">
        <v>0</v>
      </c>
      <c r="B7" t="s">
        <v>4</v>
      </c>
      <c r="C7" t="s">
        <v>80</v>
      </c>
      <c r="D7" t="s">
        <v>81</v>
      </c>
      <c r="E7" t="s">
        <v>82</v>
      </c>
    </row>
    <row r="8" spans="1:5" x14ac:dyDescent="0.35">
      <c r="A8" t="s">
        <v>2</v>
      </c>
      <c r="B8" t="s">
        <v>4</v>
      </c>
      <c r="C8" t="s">
        <v>83</v>
      </c>
      <c r="D8" t="s">
        <v>84</v>
      </c>
      <c r="E8" t="s">
        <v>85</v>
      </c>
    </row>
    <row r="9" spans="1:5" x14ac:dyDescent="0.35">
      <c r="A9" t="s">
        <v>3</v>
      </c>
      <c r="B9" t="s">
        <v>5</v>
      </c>
      <c r="C9" t="s">
        <v>86</v>
      </c>
      <c r="D9" t="s">
        <v>87</v>
      </c>
      <c r="E9" t="s">
        <v>88</v>
      </c>
    </row>
    <row r="10" spans="1:5" x14ac:dyDescent="0.35">
      <c r="A10" t="s">
        <v>4</v>
      </c>
      <c r="B10" t="s">
        <v>5</v>
      </c>
      <c r="C10" t="s">
        <v>89</v>
      </c>
      <c r="D10" t="s">
        <v>90</v>
      </c>
      <c r="E10" t="s">
        <v>91</v>
      </c>
    </row>
    <row r="11" spans="1:5" x14ac:dyDescent="0.35">
      <c r="A11" t="s">
        <v>4</v>
      </c>
      <c r="B11" t="s">
        <v>6</v>
      </c>
      <c r="C11" t="s">
        <v>92</v>
      </c>
      <c r="D11" t="s">
        <v>93</v>
      </c>
      <c r="E11" t="s">
        <v>85</v>
      </c>
    </row>
    <row r="12" spans="1:5" x14ac:dyDescent="0.35">
      <c r="A12" t="s">
        <v>4</v>
      </c>
      <c r="B12" t="s">
        <v>7</v>
      </c>
      <c r="C12" t="s">
        <v>94</v>
      </c>
      <c r="D12" t="s">
        <v>95</v>
      </c>
      <c r="E12" t="s">
        <v>94</v>
      </c>
    </row>
    <row r="13" spans="1:5" x14ac:dyDescent="0.35">
      <c r="A13" t="s">
        <v>4</v>
      </c>
      <c r="B13" t="s">
        <v>8</v>
      </c>
      <c r="C13" t="s">
        <v>94</v>
      </c>
      <c r="D13" t="s">
        <v>96</v>
      </c>
      <c r="E13" t="s">
        <v>94</v>
      </c>
    </row>
    <row r="14" spans="1:5" x14ac:dyDescent="0.35">
      <c r="A14" t="s">
        <v>7</v>
      </c>
      <c r="B14" t="s">
        <v>9</v>
      </c>
      <c r="C14" t="s">
        <v>94</v>
      </c>
      <c r="D14" t="s">
        <v>95</v>
      </c>
      <c r="E14" t="s">
        <v>94</v>
      </c>
    </row>
    <row r="15" spans="1:5" x14ac:dyDescent="0.35">
      <c r="A15" t="s">
        <v>7</v>
      </c>
      <c r="B15" t="s">
        <v>8</v>
      </c>
      <c r="C15" t="s">
        <v>94</v>
      </c>
      <c r="D15" t="s">
        <v>97</v>
      </c>
      <c r="E15" t="s">
        <v>94</v>
      </c>
    </row>
    <row r="16" spans="1:5" x14ac:dyDescent="0.35">
      <c r="A16" t="s">
        <v>2</v>
      </c>
      <c r="B16" t="s">
        <v>10</v>
      </c>
      <c r="C16" t="s">
        <v>94</v>
      </c>
      <c r="D16" t="s">
        <v>98</v>
      </c>
      <c r="E16" t="s">
        <v>94</v>
      </c>
    </row>
    <row r="17" spans="1:5" x14ac:dyDescent="0.35">
      <c r="A17" t="s">
        <v>10</v>
      </c>
      <c r="B17" t="s">
        <v>11</v>
      </c>
      <c r="C17" t="s">
        <v>94</v>
      </c>
      <c r="D17" t="s">
        <v>99</v>
      </c>
      <c r="E17" t="s">
        <v>94</v>
      </c>
    </row>
    <row r="18" spans="1:5" x14ac:dyDescent="0.35">
      <c r="A18" t="s">
        <v>10</v>
      </c>
      <c r="B18" t="s">
        <v>12</v>
      </c>
      <c r="C18" t="s">
        <v>100</v>
      </c>
      <c r="D18" t="s">
        <v>101</v>
      </c>
      <c r="E18" t="s">
        <v>94</v>
      </c>
    </row>
    <row r="19" spans="1:5" x14ac:dyDescent="0.35">
      <c r="A19" t="s">
        <v>10</v>
      </c>
      <c r="B19" t="s">
        <v>13</v>
      </c>
      <c r="C19" t="s">
        <v>102</v>
      </c>
      <c r="D19" t="s">
        <v>103</v>
      </c>
      <c r="E19" t="s">
        <v>94</v>
      </c>
    </row>
    <row r="20" spans="1:5" x14ac:dyDescent="0.35">
      <c r="A20" t="s">
        <v>10</v>
      </c>
      <c r="B20" t="s">
        <v>14</v>
      </c>
      <c r="C20" t="s">
        <v>104</v>
      </c>
      <c r="D20" t="s">
        <v>105</v>
      </c>
      <c r="E20" t="s">
        <v>94</v>
      </c>
    </row>
    <row r="21" spans="1:5" x14ac:dyDescent="0.35">
      <c r="A21" t="s">
        <v>12</v>
      </c>
      <c r="B21" t="s">
        <v>13</v>
      </c>
      <c r="C21" t="s">
        <v>106</v>
      </c>
      <c r="D21" t="s">
        <v>107</v>
      </c>
      <c r="E21" t="s">
        <v>94</v>
      </c>
    </row>
    <row r="22" spans="1:5" x14ac:dyDescent="0.35">
      <c r="A22" t="s">
        <v>14</v>
      </c>
      <c r="B22" t="s">
        <v>15</v>
      </c>
      <c r="C22" t="s">
        <v>108</v>
      </c>
      <c r="D22" t="s">
        <v>109</v>
      </c>
      <c r="E22" t="s">
        <v>94</v>
      </c>
    </row>
    <row r="23" spans="1:5" x14ac:dyDescent="0.35">
      <c r="A23" t="s">
        <v>13</v>
      </c>
      <c r="B23" t="s">
        <v>16</v>
      </c>
      <c r="C23" t="s">
        <v>110</v>
      </c>
      <c r="D23" t="s">
        <v>111</v>
      </c>
      <c r="E23" t="s">
        <v>94</v>
      </c>
    </row>
    <row r="24" spans="1:5" x14ac:dyDescent="0.35">
      <c r="A24" t="s">
        <v>16</v>
      </c>
      <c r="B24" t="s">
        <v>17</v>
      </c>
      <c r="C24" t="s">
        <v>112</v>
      </c>
      <c r="D24" t="s">
        <v>113</v>
      </c>
      <c r="E24" t="s">
        <v>94</v>
      </c>
    </row>
    <row r="25" spans="1:5" x14ac:dyDescent="0.35">
      <c r="A25" t="s">
        <v>17</v>
      </c>
      <c r="B25" t="s">
        <v>18</v>
      </c>
      <c r="C25" t="s">
        <v>114</v>
      </c>
      <c r="D25" t="s">
        <v>115</v>
      </c>
      <c r="E25" t="s">
        <v>94</v>
      </c>
    </row>
    <row r="26" spans="1:5" x14ac:dyDescent="0.35">
      <c r="A26" t="s">
        <v>8</v>
      </c>
      <c r="B26" t="s">
        <v>18</v>
      </c>
      <c r="C26" t="s">
        <v>116</v>
      </c>
      <c r="D26" t="s">
        <v>117</v>
      </c>
      <c r="E26" t="s">
        <v>94</v>
      </c>
    </row>
    <row r="27" spans="1:5" x14ac:dyDescent="0.35">
      <c r="A27" t="s">
        <v>8</v>
      </c>
      <c r="B27" t="s">
        <v>15</v>
      </c>
      <c r="C27" t="s">
        <v>118</v>
      </c>
      <c r="D27" t="s">
        <v>119</v>
      </c>
      <c r="E27" t="s">
        <v>94</v>
      </c>
    </row>
    <row r="28" spans="1:5" x14ac:dyDescent="0.35">
      <c r="A28" t="s">
        <v>8</v>
      </c>
      <c r="B28" t="s">
        <v>19</v>
      </c>
      <c r="C28" t="s">
        <v>120</v>
      </c>
      <c r="D28" t="s">
        <v>121</v>
      </c>
      <c r="E28" t="s">
        <v>94</v>
      </c>
    </row>
    <row r="29" spans="1:5" x14ac:dyDescent="0.35">
      <c r="A29" t="s">
        <v>8</v>
      </c>
      <c r="B29" t="s">
        <v>20</v>
      </c>
      <c r="C29" t="s">
        <v>122</v>
      </c>
      <c r="D29" t="s">
        <v>123</v>
      </c>
      <c r="E29" t="s">
        <v>94</v>
      </c>
    </row>
    <row r="30" spans="1:5" x14ac:dyDescent="0.35">
      <c r="A30" t="s">
        <v>19</v>
      </c>
      <c r="B30" t="s">
        <v>20</v>
      </c>
      <c r="C30" t="s">
        <v>124</v>
      </c>
      <c r="D30" t="s">
        <v>125</v>
      </c>
      <c r="E30" t="s">
        <v>94</v>
      </c>
    </row>
    <row r="31" spans="1:5" x14ac:dyDescent="0.35">
      <c r="A31" t="s">
        <v>13</v>
      </c>
      <c r="B31" t="s">
        <v>21</v>
      </c>
      <c r="C31" t="s">
        <v>126</v>
      </c>
      <c r="D31" t="s">
        <v>127</v>
      </c>
      <c r="E31" t="s">
        <v>94</v>
      </c>
    </row>
    <row r="32" spans="1:5" x14ac:dyDescent="0.35">
      <c r="A32" t="s">
        <v>20</v>
      </c>
      <c r="B32" t="s">
        <v>22</v>
      </c>
      <c r="C32" t="s">
        <v>128</v>
      </c>
      <c r="D32" t="s">
        <v>129</v>
      </c>
      <c r="E32" t="s">
        <v>94</v>
      </c>
    </row>
    <row r="33" spans="1:8" x14ac:dyDescent="0.35">
      <c r="A33" t="s">
        <v>21</v>
      </c>
      <c r="B33" t="s">
        <v>22</v>
      </c>
      <c r="C33" t="s">
        <v>130</v>
      </c>
      <c r="D33" t="s">
        <v>131</v>
      </c>
      <c r="E33" t="s">
        <v>94</v>
      </c>
    </row>
    <row r="34" spans="1:8" x14ac:dyDescent="0.35">
      <c r="A34" t="s">
        <v>22</v>
      </c>
      <c r="B34" t="s">
        <v>23</v>
      </c>
      <c r="C34" t="s">
        <v>132</v>
      </c>
      <c r="D34" t="s">
        <v>133</v>
      </c>
      <c r="E34" t="s">
        <v>94</v>
      </c>
    </row>
    <row r="35" spans="1:8" x14ac:dyDescent="0.35">
      <c r="A35" t="s">
        <v>23</v>
      </c>
      <c r="B35" t="s">
        <v>24</v>
      </c>
      <c r="C35" t="s">
        <v>134</v>
      </c>
      <c r="D35" t="s">
        <v>135</v>
      </c>
      <c r="E35" t="s">
        <v>94</v>
      </c>
    </row>
    <row r="36" spans="1:8" x14ac:dyDescent="0.35">
      <c r="A36" t="s">
        <v>23</v>
      </c>
      <c r="B36" t="s">
        <v>25</v>
      </c>
      <c r="C36" t="s">
        <v>136</v>
      </c>
      <c r="D36" t="s">
        <v>137</v>
      </c>
      <c r="E36" t="s">
        <v>94</v>
      </c>
    </row>
    <row r="37" spans="1:8" x14ac:dyDescent="0.35">
      <c r="A37" t="s">
        <v>26</v>
      </c>
      <c r="B37" t="s">
        <v>25</v>
      </c>
      <c r="C37" t="s">
        <v>94</v>
      </c>
      <c r="D37" t="s">
        <v>138</v>
      </c>
      <c r="E37" t="s">
        <v>94</v>
      </c>
    </row>
    <row r="38" spans="1:8" x14ac:dyDescent="0.35">
      <c r="A38" t="s">
        <v>25</v>
      </c>
      <c r="B38" t="s">
        <v>27</v>
      </c>
      <c r="C38" t="s">
        <v>139</v>
      </c>
      <c r="D38" t="s">
        <v>140</v>
      </c>
      <c r="E38" t="s">
        <v>94</v>
      </c>
    </row>
    <row r="39" spans="1:8" x14ac:dyDescent="0.35">
      <c r="A39" t="s">
        <v>25</v>
      </c>
      <c r="B39" t="s">
        <v>28</v>
      </c>
      <c r="C39" t="s">
        <v>141</v>
      </c>
      <c r="D39" t="s">
        <v>142</v>
      </c>
      <c r="E39" t="s">
        <v>94</v>
      </c>
    </row>
    <row r="40" spans="1:8" x14ac:dyDescent="0.35">
      <c r="A40" t="s">
        <v>27</v>
      </c>
      <c r="B40" t="s">
        <v>28</v>
      </c>
      <c r="C40" t="s">
        <v>143</v>
      </c>
      <c r="D40" t="s">
        <v>144</v>
      </c>
      <c r="E40" t="s">
        <v>94</v>
      </c>
    </row>
    <row r="41" spans="1:8" x14ac:dyDescent="0.35">
      <c r="A41" t="s">
        <v>6</v>
      </c>
      <c r="B41" t="s">
        <v>26</v>
      </c>
      <c r="C41" t="s">
        <v>145</v>
      </c>
      <c r="D41" t="s">
        <v>146</v>
      </c>
      <c r="E41" t="s">
        <v>147</v>
      </c>
    </row>
    <row r="42" spans="1:8" x14ac:dyDescent="0.35">
      <c r="A42" t="s">
        <v>4</v>
      </c>
      <c r="B42" t="s">
        <v>26</v>
      </c>
      <c r="C42" t="s">
        <v>148</v>
      </c>
      <c r="D42" t="s">
        <v>149</v>
      </c>
      <c r="E42" t="s">
        <v>150</v>
      </c>
      <c r="H4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BUS DATA</vt:lpstr>
      <vt:lpstr>BRANCH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Cid</dc:creator>
  <cp:lastModifiedBy>Felipe Cid</cp:lastModifiedBy>
  <dcterms:created xsi:type="dcterms:W3CDTF">2025-10-25T15:00:36Z</dcterms:created>
  <dcterms:modified xsi:type="dcterms:W3CDTF">2025-10-27T14:08:21Z</dcterms:modified>
</cp:coreProperties>
</file>